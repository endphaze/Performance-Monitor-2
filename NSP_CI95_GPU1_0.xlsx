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\Desktop\"/>
    </mc:Choice>
  </mc:AlternateContent>
  <xr:revisionPtr revIDLastSave="0" documentId="13_ncr:1_{47C05745-BF2A-4CDC-8399-EB99045D5282}" xr6:coauthVersionLast="47" xr6:coauthVersionMax="47" xr10:uidLastSave="{00000000-0000-0000-0000-000000000000}"/>
  <bookViews>
    <workbookView xWindow="3645" yWindow="4410" windowWidth="21600" windowHeight="11295" xr2:uid="{D3D72690-7835-42ED-AF41-B28C3D76F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E48" i="1"/>
  <c r="E47" i="1"/>
  <c r="I49" i="1"/>
  <c r="G49" i="1" s="1"/>
  <c r="D49" i="1"/>
  <c r="H49" i="1"/>
  <c r="J49" i="1"/>
  <c r="L19" i="1"/>
  <c r="K19" i="1"/>
  <c r="K20" i="1"/>
  <c r="H20" i="1"/>
  <c r="H19" i="1"/>
  <c r="M25" i="1" a="1"/>
  <c r="M25" i="1" s="1"/>
  <c r="L25" i="1" a="1"/>
  <c r="L25" i="1" s="1"/>
  <c r="K25" i="1" a="1"/>
  <c r="K25" i="1" s="1"/>
  <c r="I25" i="1" a="1"/>
  <c r="I25" i="1" s="1"/>
  <c r="M2" i="1"/>
  <c r="M1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<sst xmlns="http://schemas.openxmlformats.org/spreadsheetml/2006/main" count="75" uniqueCount="46">
  <si>
    <t>Load (VUs)</t>
  </si>
  <si>
    <t>Web Server</t>
  </si>
  <si>
    <t>Means (ms)</t>
  </si>
  <si>
    <t>Total Requests (n)</t>
  </si>
  <si>
    <t>Std Dev (ms)</t>
  </si>
  <si>
    <t>95% CI (Lower,Upper)</t>
  </si>
  <si>
    <t>สรุปผลที่ 95% </t>
  </si>
  <si>
    <t>Apache</t>
  </si>
  <si>
    <t>Nginx</t>
  </si>
  <si>
    <t>Caddy</t>
  </si>
  <si>
    <t>ME</t>
  </si>
  <si>
    <t>UPPER</t>
  </si>
  <si>
    <t>LOWER</t>
  </si>
  <si>
    <t>Round Upper</t>
  </si>
  <si>
    <t>Round Lower</t>
  </si>
  <si>
    <t>CPU 1.0</t>
  </si>
  <si>
    <t>Run</t>
  </si>
  <si>
    <t>Webserver</t>
  </si>
  <si>
    <t>Total Requests</t>
  </si>
  <si>
    <t>Success (Count)</t>
  </si>
  <si>
    <t>Fail (Count)</t>
  </si>
  <si>
    <t>Mean (MS) (Success)</t>
  </si>
  <si>
    <t>Std Dev (S)</t>
  </si>
  <si>
    <t>(Success)</t>
  </si>
  <si>
    <t>Std Dev (MS)</t>
  </si>
  <si>
    <t>CI Phase 1</t>
  </si>
  <si>
    <t>Upper</t>
  </si>
  <si>
    <t>Lower</t>
  </si>
  <si>
    <t>1.1 - 1.12</t>
  </si>
  <si>
    <t>0.8 - 0.82</t>
  </si>
  <si>
    <t>0.73 - 0.73</t>
  </si>
  <si>
    <t>351.39 - 395.21</t>
  </si>
  <si>
    <t>507.27 - 560.03</t>
  </si>
  <si>
    <t>1.09 - 1.11</t>
  </si>
  <si>
    <t>0.72 - 0.74</t>
  </si>
  <si>
    <t>0.65 - 0.67</t>
  </si>
  <si>
    <t>0.69 - 0.71</t>
  </si>
  <si>
    <t>1.19 - 1.21</t>
  </si>
  <si>
    <t>3.97 - 4.03</t>
  </si>
  <si>
    <t>4.04 - 4.14</t>
  </si>
  <si>
    <t>20.5 - 21.96</t>
  </si>
  <si>
    <t>3045.51 - 3076.09</t>
  </si>
  <si>
    <t>7027.33 - 7096.01</t>
  </si>
  <si>
    <t>CPU 0.5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</si>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</sst>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sz val="10"/>
      <color rgb="FF000000"/>
      <name val="Arial"/>
      <family val="2"/>
    </font>
    <font>
      <sz val="26"/>
      <color theme="1"/>
      <name val="Tahoma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E7A0-B87B-4950-93CF-2921600B84E5}">
  <dimension ref="A1:N52"/>
  <sheetViews>
    <sheetView tabSelected="1" topLeftCell="A46" zoomScale="130" zoomScaleNormal="130" workbookViewId="0">
      <selection activeCell="D52" sqref="D52"/>
    </sheetView>
  </sheetViews>
  <sheetFormatPr defaultRowHeight="14.25" x14ac:dyDescent="0.2"/>
  <cols>
    <col min="8" max="8" width="12.25" bestFit="1" customWidth="1"/>
    <col min="11" max="11" width="12.625" customWidth="1"/>
    <col min="12" max="12" width="12.875" customWidth="1"/>
    <col min="13" max="13" width="15.125" customWidth="1"/>
  </cols>
  <sheetData>
    <row r="1" spans="1:13" ht="39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</row>
    <row r="2" spans="1:13" ht="15" thickBot="1" x14ac:dyDescent="0.25">
      <c r="A2" s="1">
        <v>100</v>
      </c>
      <c r="B2" s="3" t="s">
        <v>7</v>
      </c>
      <c r="C2" s="4">
        <v>0.86</v>
      </c>
      <c r="D2" s="4">
        <v>7253</v>
      </c>
      <c r="E2" s="5">
        <v>0.73</v>
      </c>
      <c r="F2" s="6"/>
      <c r="G2" s="6"/>
      <c r="I2">
        <f>1.96 * (E2 / SQRT(D2))</f>
        <v>1.6800418212543567E-2</v>
      </c>
      <c r="J2">
        <f>C2+I2</f>
        <v>0.87680041821254351</v>
      </c>
      <c r="K2">
        <f>C2-I2</f>
        <v>0.84319958178745646</v>
      </c>
      <c r="L2">
        <f>ROUND(J2,4)</f>
        <v>0.87680000000000002</v>
      </c>
      <c r="M2">
        <f>ROUND(K2,4)</f>
        <v>0.84319999999999995</v>
      </c>
    </row>
    <row r="3" spans="1:13" ht="15" thickBot="1" x14ac:dyDescent="0.25">
      <c r="A3" s="1">
        <v>100</v>
      </c>
      <c r="B3" s="3" t="s">
        <v>8</v>
      </c>
      <c r="C3" s="4">
        <v>0.78</v>
      </c>
      <c r="D3" s="4">
        <v>7333</v>
      </c>
      <c r="E3" s="5">
        <v>0.38</v>
      </c>
      <c r="F3" s="6"/>
      <c r="G3" s="6"/>
      <c r="I3">
        <f t="shared" ref="I3:I16" si="0">1.96 * (E3 / SQRT(D3))</f>
        <v>8.6975878788706565E-3</v>
      </c>
      <c r="J3">
        <f t="shared" ref="J3:J16" si="1">C3+I3</f>
        <v>0.78869758787887068</v>
      </c>
      <c r="K3">
        <f t="shared" ref="K3:K16" si="2">C3-I3</f>
        <v>0.77130241212112938</v>
      </c>
      <c r="L3">
        <f t="shared" ref="L3:L16" si="3">ROUND(J3,4)</f>
        <v>0.78869999999999996</v>
      </c>
      <c r="M3">
        <f t="shared" ref="M3:M15" si="4">ROUND(K3,4)</f>
        <v>0.77129999999999999</v>
      </c>
    </row>
    <row r="4" spans="1:13" ht="15" thickBot="1" x14ac:dyDescent="0.25">
      <c r="A4" s="1">
        <v>100</v>
      </c>
      <c r="B4" s="3" t="s">
        <v>9</v>
      </c>
      <c r="C4" s="4">
        <v>3.52</v>
      </c>
      <c r="D4" s="4">
        <v>7257</v>
      </c>
      <c r="E4" s="5">
        <v>1.42</v>
      </c>
      <c r="F4" s="6"/>
      <c r="G4" s="6"/>
      <c r="I4">
        <f t="shared" si="0"/>
        <v>3.2671257773005412E-2</v>
      </c>
      <c r="J4">
        <f t="shared" si="1"/>
        <v>3.5526712577730053</v>
      </c>
      <c r="K4">
        <f t="shared" si="2"/>
        <v>3.4873287422269947</v>
      </c>
      <c r="L4">
        <f t="shared" si="3"/>
        <v>3.5527000000000002</v>
      </c>
      <c r="M4">
        <f t="shared" si="4"/>
        <v>3.4872999999999998</v>
      </c>
    </row>
    <row r="5" spans="1:13" ht="15" thickBot="1" x14ac:dyDescent="0.25">
      <c r="A5" s="1">
        <v>500</v>
      </c>
      <c r="B5" s="3" t="s">
        <v>7</v>
      </c>
      <c r="C5" s="4">
        <v>0.62</v>
      </c>
      <c r="D5" s="4">
        <v>36187</v>
      </c>
      <c r="E5" s="5">
        <v>1.26</v>
      </c>
      <c r="F5" s="6"/>
      <c r="G5" s="6"/>
      <c r="I5">
        <f t="shared" si="0"/>
        <v>1.298226070622769E-2</v>
      </c>
      <c r="J5">
        <f t="shared" si="1"/>
        <v>0.63298226070622765</v>
      </c>
      <c r="K5">
        <f t="shared" si="2"/>
        <v>0.60701773929377234</v>
      </c>
      <c r="L5">
        <f t="shared" si="3"/>
        <v>0.63300000000000001</v>
      </c>
      <c r="M5">
        <f t="shared" si="4"/>
        <v>0.60699999999999998</v>
      </c>
    </row>
    <row r="6" spans="1:13" ht="15" thickBot="1" x14ac:dyDescent="0.25">
      <c r="A6" s="1">
        <v>500</v>
      </c>
      <c r="B6" s="3" t="s">
        <v>8</v>
      </c>
      <c r="C6" s="4">
        <v>0.68</v>
      </c>
      <c r="D6" s="4">
        <v>36371</v>
      </c>
      <c r="E6" s="5">
        <v>0.41</v>
      </c>
      <c r="F6" s="6"/>
      <c r="G6" s="6"/>
      <c r="I6">
        <f t="shared" si="0"/>
        <v>4.2136873377009798E-3</v>
      </c>
      <c r="J6">
        <f t="shared" si="1"/>
        <v>0.68421368733770105</v>
      </c>
      <c r="K6">
        <f t="shared" si="2"/>
        <v>0.67578631266229905</v>
      </c>
      <c r="L6">
        <f t="shared" si="3"/>
        <v>0.68420000000000003</v>
      </c>
      <c r="M6">
        <f t="shared" si="4"/>
        <v>0.67579999999999996</v>
      </c>
    </row>
    <row r="7" spans="1:13" ht="15" thickBot="1" x14ac:dyDescent="0.25">
      <c r="A7" s="1">
        <v>500</v>
      </c>
      <c r="B7" s="3" t="s">
        <v>9</v>
      </c>
      <c r="C7" s="4">
        <v>12.03</v>
      </c>
      <c r="D7" s="4">
        <v>35893</v>
      </c>
      <c r="E7" s="5">
        <v>30.09</v>
      </c>
      <c r="F7" s="6"/>
      <c r="G7" s="6"/>
      <c r="I7">
        <f t="shared" si="0"/>
        <v>0.31129588486630327</v>
      </c>
      <c r="J7">
        <f t="shared" si="1"/>
        <v>12.341295884866303</v>
      </c>
      <c r="K7">
        <f t="shared" si="2"/>
        <v>11.718704115133695</v>
      </c>
      <c r="L7">
        <f t="shared" si="3"/>
        <v>12.3413</v>
      </c>
      <c r="M7">
        <f t="shared" si="4"/>
        <v>11.7187</v>
      </c>
    </row>
    <row r="8" spans="1:13" ht="15" thickBot="1" x14ac:dyDescent="0.25">
      <c r="A8" s="1">
        <v>1000</v>
      </c>
      <c r="B8" s="3" t="s">
        <v>7</v>
      </c>
      <c r="C8" s="4">
        <v>0.63</v>
      </c>
      <c r="D8" s="7">
        <v>72550</v>
      </c>
      <c r="E8" s="1">
        <v>1</v>
      </c>
      <c r="F8" s="6"/>
      <c r="G8" s="6"/>
      <c r="I8">
        <f t="shared" si="0"/>
        <v>7.2767484654073147E-3</v>
      </c>
      <c r="J8">
        <f t="shared" si="1"/>
        <v>0.63727674846540727</v>
      </c>
      <c r="K8">
        <f t="shared" si="2"/>
        <v>0.62272325153459274</v>
      </c>
      <c r="L8">
        <f t="shared" si="3"/>
        <v>0.63729999999999998</v>
      </c>
      <c r="M8">
        <f t="shared" si="4"/>
        <v>0.62270000000000003</v>
      </c>
    </row>
    <row r="9" spans="1:13" ht="15" thickBot="1" x14ac:dyDescent="0.25">
      <c r="A9" s="1">
        <v>1000</v>
      </c>
      <c r="B9" s="3" t="s">
        <v>8</v>
      </c>
      <c r="C9" s="4">
        <v>0.67</v>
      </c>
      <c r="D9" s="4">
        <v>72598</v>
      </c>
      <c r="E9" s="5">
        <v>0.6</v>
      </c>
      <c r="F9" s="6"/>
      <c r="G9" s="6"/>
      <c r="I9">
        <f t="shared" si="0"/>
        <v>4.3646054788150186E-3</v>
      </c>
      <c r="J9">
        <f t="shared" si="1"/>
        <v>0.67436460547881505</v>
      </c>
      <c r="K9">
        <f t="shared" si="2"/>
        <v>0.66563539452118503</v>
      </c>
      <c r="L9">
        <f t="shared" si="3"/>
        <v>0.6744</v>
      </c>
      <c r="M9">
        <f t="shared" si="4"/>
        <v>0.66559999999999997</v>
      </c>
    </row>
    <row r="10" spans="1:13" ht="15" thickBot="1" x14ac:dyDescent="0.25">
      <c r="A10" s="1">
        <v>1000</v>
      </c>
      <c r="B10" s="3" t="s">
        <v>9</v>
      </c>
      <c r="C10" s="4">
        <v>11.97</v>
      </c>
      <c r="D10" s="4">
        <v>71946</v>
      </c>
      <c r="E10" s="5">
        <v>39.6</v>
      </c>
      <c r="F10" s="6"/>
      <c r="G10" s="6"/>
      <c r="I10">
        <f t="shared" si="0"/>
        <v>0.28936628628042832</v>
      </c>
      <c r="J10">
        <f t="shared" si="1"/>
        <v>12.259366286280429</v>
      </c>
      <c r="K10">
        <f t="shared" si="2"/>
        <v>11.680633713719573</v>
      </c>
      <c r="L10">
        <f t="shared" si="3"/>
        <v>12.259399999999999</v>
      </c>
      <c r="M10">
        <f t="shared" si="4"/>
        <v>11.6806</v>
      </c>
    </row>
    <row r="11" spans="1:13" ht="15" thickBot="1" x14ac:dyDescent="0.25">
      <c r="A11" s="1">
        <v>2500</v>
      </c>
      <c r="B11" s="3" t="s">
        <v>7</v>
      </c>
      <c r="C11" s="4">
        <v>1090</v>
      </c>
      <c r="D11" s="4">
        <v>103100</v>
      </c>
      <c r="E11" s="5">
        <v>3204.73</v>
      </c>
      <c r="F11" s="6"/>
      <c r="G11" s="6"/>
      <c r="I11">
        <f t="shared" si="0"/>
        <v>19.562222065327784</v>
      </c>
      <c r="J11">
        <f t="shared" si="1"/>
        <v>1109.5622220653279</v>
      </c>
      <c r="K11">
        <f t="shared" si="2"/>
        <v>1070.4377779346721</v>
      </c>
      <c r="L11">
        <f t="shared" si="3"/>
        <v>1109.5622000000001</v>
      </c>
      <c r="M11">
        <f t="shared" si="4"/>
        <v>1070.4377999999999</v>
      </c>
    </row>
    <row r="12" spans="1:13" ht="15" thickBot="1" x14ac:dyDescent="0.25">
      <c r="A12" s="1">
        <v>2500</v>
      </c>
      <c r="B12" s="3" t="s">
        <v>8</v>
      </c>
      <c r="C12" s="4">
        <v>0.8</v>
      </c>
      <c r="D12" s="4">
        <v>181115</v>
      </c>
      <c r="E12" s="5">
        <v>1.17</v>
      </c>
      <c r="F12" s="6"/>
      <c r="G12" s="6"/>
      <c r="I12">
        <f t="shared" si="0"/>
        <v>5.3884607404753333E-3</v>
      </c>
      <c r="J12">
        <f t="shared" si="1"/>
        <v>0.80538846074047543</v>
      </c>
      <c r="K12">
        <f t="shared" si="2"/>
        <v>0.79461153925952466</v>
      </c>
      <c r="L12">
        <f t="shared" si="3"/>
        <v>0.8054</v>
      </c>
      <c r="M12">
        <f t="shared" si="4"/>
        <v>0.79459999999999997</v>
      </c>
    </row>
    <row r="13" spans="1:13" ht="15" thickBot="1" x14ac:dyDescent="0.25">
      <c r="A13" s="1">
        <v>2500</v>
      </c>
      <c r="B13" s="3" t="s">
        <v>9</v>
      </c>
      <c r="C13" s="4">
        <v>1680</v>
      </c>
      <c r="D13" s="4">
        <v>77980</v>
      </c>
      <c r="E13" s="5">
        <v>1706.08</v>
      </c>
      <c r="F13" s="6"/>
      <c r="G13" s="6"/>
      <c r="I13">
        <f t="shared" si="0"/>
        <v>11.974678103717064</v>
      </c>
      <c r="J13">
        <f t="shared" si="1"/>
        <v>1691.974678103717</v>
      </c>
      <c r="K13">
        <f t="shared" si="2"/>
        <v>1668.025321896283</v>
      </c>
      <c r="L13">
        <f t="shared" si="3"/>
        <v>1691.9747</v>
      </c>
      <c r="M13">
        <f t="shared" si="4"/>
        <v>1668.0253</v>
      </c>
    </row>
    <row r="14" spans="1:13" ht="15" thickBot="1" x14ac:dyDescent="0.25">
      <c r="A14" s="1">
        <v>5000</v>
      </c>
      <c r="B14" s="1" t="s">
        <v>7</v>
      </c>
      <c r="C14" s="8">
        <v>2950</v>
      </c>
      <c r="D14" s="8">
        <v>113992</v>
      </c>
      <c r="E14" s="1">
        <v>3367.36</v>
      </c>
      <c r="F14" s="6"/>
      <c r="G14" s="6"/>
      <c r="I14">
        <f t="shared" si="0"/>
        <v>19.54827470311578</v>
      </c>
      <c r="J14">
        <f t="shared" si="1"/>
        <v>2969.5482747031156</v>
      </c>
      <c r="K14">
        <f t="shared" si="2"/>
        <v>2930.4517252968844</v>
      </c>
      <c r="L14">
        <f t="shared" si="3"/>
        <v>2969.5482999999999</v>
      </c>
      <c r="M14">
        <f t="shared" si="4"/>
        <v>2930.4517000000001</v>
      </c>
    </row>
    <row r="15" spans="1:13" ht="15" thickBot="1" x14ac:dyDescent="0.25">
      <c r="A15" s="1">
        <v>5000</v>
      </c>
      <c r="B15" s="1" t="s">
        <v>8</v>
      </c>
      <c r="C15" s="1">
        <v>1.39</v>
      </c>
      <c r="D15" s="1">
        <v>362177</v>
      </c>
      <c r="E15" s="1">
        <v>3.5</v>
      </c>
      <c r="F15" s="6"/>
      <c r="G15" s="6"/>
      <c r="I15">
        <f t="shared" si="0"/>
        <v>1.1398919382816284E-2</v>
      </c>
      <c r="J15">
        <f t="shared" si="1"/>
        <v>1.4013989193828162</v>
      </c>
      <c r="K15">
        <f t="shared" si="2"/>
        <v>1.3786010806171836</v>
      </c>
      <c r="L15">
        <f t="shared" si="3"/>
        <v>1.4014</v>
      </c>
      <c r="M15">
        <f t="shared" si="4"/>
        <v>1.3786</v>
      </c>
    </row>
    <row r="16" spans="1:13" ht="15" thickBot="1" x14ac:dyDescent="0.25">
      <c r="A16" s="1">
        <v>5000</v>
      </c>
      <c r="B16" s="1" t="s">
        <v>9</v>
      </c>
      <c r="C16" s="1">
        <v>3640</v>
      </c>
      <c r="D16" s="1">
        <v>93747</v>
      </c>
      <c r="E16" s="1">
        <v>2915.78</v>
      </c>
      <c r="F16" s="6"/>
      <c r="G16" s="6"/>
      <c r="I16">
        <f t="shared" si="0"/>
        <v>18.665177947017906</v>
      </c>
      <c r="J16">
        <f t="shared" si="1"/>
        <v>3658.665177947018</v>
      </c>
      <c r="K16">
        <f t="shared" si="2"/>
        <v>3621.334822052982</v>
      </c>
      <c r="L16">
        <f t="shared" si="3"/>
        <v>3658.6651999999999</v>
      </c>
      <c r="M16">
        <f>ROUND(K16,4)</f>
        <v>3621.3348000000001</v>
      </c>
    </row>
    <row r="18" spans="1:14" x14ac:dyDescent="0.2">
      <c r="A18" s="12" t="s">
        <v>15</v>
      </c>
      <c r="B18" s="12"/>
      <c r="C18" s="12"/>
      <c r="D18" s="12"/>
      <c r="E18" s="12"/>
      <c r="F18" s="12"/>
      <c r="G18" s="12"/>
    </row>
    <row r="19" spans="1:14" x14ac:dyDescent="0.2">
      <c r="A19" s="12"/>
      <c r="B19" s="12"/>
      <c r="C19" s="12"/>
      <c r="D19" s="12"/>
      <c r="E19" s="12"/>
      <c r="F19" s="12"/>
      <c r="G19" s="12"/>
      <c r="H19">
        <f>LN(0.095167)</f>
        <v>-2.3521220359333457</v>
      </c>
      <c r="K19">
        <f>ROUND(1 - POWER(0.9999,1/50),6)</f>
        <v>1.9999999999999999E-6</v>
      </c>
      <c r="L19">
        <f>LN(2*(10^-6))/LN(0.8646)</f>
        <v>90.195313085050358</v>
      </c>
    </row>
    <row r="20" spans="1:14" x14ac:dyDescent="0.2">
      <c r="H20">
        <f>1 - 0.095167^4</f>
        <v>0.99991797513654002</v>
      </c>
      <c r="K20">
        <f>0.9999^0.02</f>
        <v>0.99999799990199356</v>
      </c>
      <c r="N20">
        <v>9.5100000000000004E-2</v>
      </c>
    </row>
    <row r="22" spans="1:14" ht="15" thickBot="1" x14ac:dyDescent="0.25"/>
    <row r="23" spans="1:14" ht="25.5" x14ac:dyDescent="0.2">
      <c r="A23" s="13" t="s">
        <v>16</v>
      </c>
      <c r="B23" s="13" t="s">
        <v>17</v>
      </c>
      <c r="C23" s="13" t="s">
        <v>0</v>
      </c>
      <c r="D23" s="13" t="s">
        <v>18</v>
      </c>
      <c r="E23" s="13" t="s">
        <v>19</v>
      </c>
      <c r="F23" s="13" t="s">
        <v>20</v>
      </c>
      <c r="G23" s="13" t="s">
        <v>21</v>
      </c>
      <c r="H23" s="10" t="s">
        <v>22</v>
      </c>
      <c r="I23" s="10" t="s">
        <v>24</v>
      </c>
      <c r="K23" t="s">
        <v>25</v>
      </c>
      <c r="L23" t="s">
        <v>26</v>
      </c>
      <c r="M23" t="s">
        <v>27</v>
      </c>
    </row>
    <row r="24" spans="1:14" ht="15" thickBot="1" x14ac:dyDescent="0.25">
      <c r="A24" s="14"/>
      <c r="B24" s="14"/>
      <c r="C24" s="14"/>
      <c r="D24" s="14"/>
      <c r="E24" s="14"/>
      <c r="F24" s="14"/>
      <c r="G24" s="14"/>
      <c r="H24" s="11" t="s">
        <v>23</v>
      </c>
      <c r="I24" s="11" t="s">
        <v>23</v>
      </c>
    </row>
    <row r="25" spans="1:14" ht="15" thickBot="1" x14ac:dyDescent="0.25">
      <c r="A25" s="1">
        <v>1</v>
      </c>
      <c r="B25" s="1" t="s">
        <v>7</v>
      </c>
      <c r="C25" s="1">
        <v>100</v>
      </c>
      <c r="D25" s="1">
        <v>7311</v>
      </c>
      <c r="E25" s="1">
        <v>7311</v>
      </c>
      <c r="F25" s="1">
        <v>0</v>
      </c>
      <c r="G25" s="1">
        <v>1.1100000000000001</v>
      </c>
      <c r="H25" s="1">
        <v>5.5999999999999995E-4</v>
      </c>
      <c r="I25" cm="1">
        <f t="array" ref="I25:I39">H25:H39*1000</f>
        <v>0.55999999999999994</v>
      </c>
      <c r="K25" cm="1">
        <f t="array" ref="K25:K39" xml:space="preserve"> 1.96 * (_xlfn.ANCHORARRAY(I25)/SQRT(D25:D39))</f>
        <v>1.2836768419042436E-2</v>
      </c>
      <c r="L25" cm="1">
        <f t="array" ref="L25:L39">ROUND(G25:G39 +_xlfn.ANCHORARRAY( K25), 2)</f>
        <v>1.1200000000000001</v>
      </c>
      <c r="M25" cm="1">
        <f t="array" ref="M25:M39">ROUND(G25:G39 -_xlfn.ANCHORARRAY( K25),2)</f>
        <v>1.1000000000000001</v>
      </c>
      <c r="N25" t="s">
        <v>28</v>
      </c>
    </row>
    <row r="26" spans="1:14" ht="15" thickBot="1" x14ac:dyDescent="0.25">
      <c r="A26" s="1">
        <v>2</v>
      </c>
      <c r="B26" s="1" t="s">
        <v>7</v>
      </c>
      <c r="C26" s="1">
        <v>500</v>
      </c>
      <c r="D26" s="1">
        <v>36176</v>
      </c>
      <c r="E26" s="1">
        <v>36176</v>
      </c>
      <c r="F26" s="1">
        <v>0</v>
      </c>
      <c r="G26" s="1">
        <v>0.81</v>
      </c>
      <c r="H26" s="1">
        <v>4.8999999999999998E-4</v>
      </c>
      <c r="I26">
        <v>0.49</v>
      </c>
      <c r="K26">
        <v>5.0494244529947713E-3</v>
      </c>
      <c r="L26">
        <v>0.82</v>
      </c>
      <c r="M26">
        <v>0.8</v>
      </c>
      <c r="N26" t="s">
        <v>29</v>
      </c>
    </row>
    <row r="27" spans="1:14" ht="15" thickBot="1" x14ac:dyDescent="0.25">
      <c r="A27" s="1">
        <v>3</v>
      </c>
      <c r="B27" s="1" t="s">
        <v>7</v>
      </c>
      <c r="C27" s="1">
        <v>1000</v>
      </c>
      <c r="D27" s="1">
        <v>72500</v>
      </c>
      <c r="E27" s="1">
        <v>72500</v>
      </c>
      <c r="F27" s="1">
        <v>0</v>
      </c>
      <c r="G27" s="1">
        <v>0.73</v>
      </c>
      <c r="H27" s="1">
        <v>5.1000000000000004E-4</v>
      </c>
      <c r="I27">
        <v>0.51</v>
      </c>
      <c r="K27">
        <v>3.7124212008356212E-3</v>
      </c>
      <c r="L27">
        <v>0.73</v>
      </c>
      <c r="M27">
        <v>0.73</v>
      </c>
      <c r="N27" t="s">
        <v>30</v>
      </c>
    </row>
    <row r="28" spans="1:14" ht="15" thickBot="1" x14ac:dyDescent="0.25">
      <c r="A28" s="1">
        <v>4</v>
      </c>
      <c r="B28" s="1" t="s">
        <v>7</v>
      </c>
      <c r="C28" s="1">
        <v>2500</v>
      </c>
      <c r="D28" s="1">
        <v>103134</v>
      </c>
      <c r="E28" s="1">
        <v>101817</v>
      </c>
      <c r="F28" s="1">
        <v>1317</v>
      </c>
      <c r="G28" s="1">
        <v>373.3</v>
      </c>
      <c r="H28" s="1">
        <v>3.59</v>
      </c>
      <c r="I28">
        <v>3590</v>
      </c>
      <c r="K28">
        <v>21.910363815048928</v>
      </c>
      <c r="L28">
        <v>395.21</v>
      </c>
      <c r="M28">
        <v>351.39</v>
      </c>
      <c r="N28" t="s">
        <v>31</v>
      </c>
    </row>
    <row r="29" spans="1:14" ht="15" thickBot="1" x14ac:dyDescent="0.25">
      <c r="A29" s="1">
        <v>5</v>
      </c>
      <c r="B29" s="1" t="s">
        <v>7</v>
      </c>
      <c r="C29" s="1">
        <v>5000</v>
      </c>
      <c r="D29" s="1">
        <v>113253</v>
      </c>
      <c r="E29" s="1">
        <v>108209</v>
      </c>
      <c r="F29" s="1">
        <v>5044</v>
      </c>
      <c r="G29" s="1">
        <v>533.65</v>
      </c>
      <c r="H29" s="1">
        <v>4.53</v>
      </c>
      <c r="I29">
        <v>4530</v>
      </c>
      <c r="K29">
        <v>26.383318229677922</v>
      </c>
      <c r="L29">
        <v>560.03</v>
      </c>
      <c r="M29">
        <v>507.27</v>
      </c>
      <c r="N29" t="s">
        <v>32</v>
      </c>
    </row>
    <row r="30" spans="1:14" ht="15" thickBot="1" x14ac:dyDescent="0.25">
      <c r="A30" s="1">
        <v>1</v>
      </c>
      <c r="B30" s="1" t="s">
        <v>8</v>
      </c>
      <c r="C30" s="1">
        <v>100</v>
      </c>
      <c r="D30" s="1">
        <v>7254</v>
      </c>
      <c r="E30" s="1">
        <v>7254</v>
      </c>
      <c r="F30" s="1">
        <v>0</v>
      </c>
      <c r="G30" s="1">
        <v>1.1000000000000001</v>
      </c>
      <c r="H30" s="1">
        <v>6.4999999999999997E-4</v>
      </c>
      <c r="I30">
        <v>0.65</v>
      </c>
      <c r="K30">
        <v>1.4958245349727766E-2</v>
      </c>
      <c r="L30">
        <v>1.1100000000000001</v>
      </c>
      <c r="M30">
        <v>1.0900000000000001</v>
      </c>
      <c r="N30" t="s">
        <v>33</v>
      </c>
    </row>
    <row r="31" spans="1:14" ht="15" thickBot="1" x14ac:dyDescent="0.25">
      <c r="A31" s="1">
        <v>2</v>
      </c>
      <c r="B31" s="1" t="s">
        <v>8</v>
      </c>
      <c r="C31" s="1">
        <v>500</v>
      </c>
      <c r="D31" s="1">
        <v>36352</v>
      </c>
      <c r="E31" s="1">
        <v>36352</v>
      </c>
      <c r="F31" s="1">
        <v>0</v>
      </c>
      <c r="G31" s="1">
        <v>0.73</v>
      </c>
      <c r="H31" s="1">
        <v>8.3000000000000001E-4</v>
      </c>
      <c r="I31">
        <v>0.83</v>
      </c>
      <c r="K31">
        <v>8.5323764604815864E-3</v>
      </c>
      <c r="L31">
        <v>0.74</v>
      </c>
      <c r="M31">
        <v>0.72</v>
      </c>
      <c r="N31" t="s">
        <v>34</v>
      </c>
    </row>
    <row r="32" spans="1:14" ht="15" thickBot="1" x14ac:dyDescent="0.25">
      <c r="A32" s="1">
        <v>3</v>
      </c>
      <c r="B32" s="1" t="s">
        <v>8</v>
      </c>
      <c r="C32" s="1">
        <v>1000</v>
      </c>
      <c r="D32" s="1">
        <v>7240</v>
      </c>
      <c r="E32" s="1">
        <v>7240</v>
      </c>
      <c r="F32" s="1">
        <v>0</v>
      </c>
      <c r="G32" s="1">
        <v>0.66</v>
      </c>
      <c r="H32" s="1">
        <v>3.8000000000000002E-4</v>
      </c>
      <c r="I32">
        <v>0.38</v>
      </c>
      <c r="K32">
        <v>8.7532712117286381E-3</v>
      </c>
      <c r="L32">
        <v>0.67</v>
      </c>
      <c r="M32">
        <v>0.65</v>
      </c>
      <c r="N32" t="s">
        <v>35</v>
      </c>
    </row>
    <row r="33" spans="1:14" ht="15" thickBot="1" x14ac:dyDescent="0.25">
      <c r="A33" s="1">
        <v>4</v>
      </c>
      <c r="B33" s="1" t="s">
        <v>8</v>
      </c>
      <c r="C33" s="1">
        <v>2500</v>
      </c>
      <c r="D33" s="1">
        <v>181294</v>
      </c>
      <c r="E33" s="1">
        <v>181294</v>
      </c>
      <c r="F33" s="1">
        <v>0</v>
      </c>
      <c r="G33" s="1">
        <v>0.7</v>
      </c>
      <c r="H33" s="1">
        <v>1.5E-3</v>
      </c>
      <c r="I33">
        <v>1.5</v>
      </c>
      <c r="K33">
        <v>6.9048717237834073E-3</v>
      </c>
      <c r="L33">
        <v>0.71</v>
      </c>
      <c r="M33">
        <v>0.69</v>
      </c>
      <c r="N33" t="s">
        <v>36</v>
      </c>
    </row>
    <row r="34" spans="1:14" ht="15" thickBot="1" x14ac:dyDescent="0.25">
      <c r="A34" s="1">
        <v>5</v>
      </c>
      <c r="B34" s="1" t="s">
        <v>8</v>
      </c>
      <c r="C34" s="1">
        <v>5000</v>
      </c>
      <c r="D34" s="1">
        <v>362699</v>
      </c>
      <c r="E34" s="1">
        <v>362699</v>
      </c>
      <c r="F34" s="1">
        <v>0</v>
      </c>
      <c r="G34" s="1">
        <v>1.2</v>
      </c>
      <c r="H34" s="1">
        <v>4.1999999999999997E-3</v>
      </c>
      <c r="I34">
        <v>4.2</v>
      </c>
      <c r="K34">
        <v>1.3668856452463386E-2</v>
      </c>
      <c r="L34">
        <v>1.21</v>
      </c>
      <c r="M34">
        <v>1.19</v>
      </c>
      <c r="N34" t="s">
        <v>37</v>
      </c>
    </row>
    <row r="35" spans="1:14" ht="15" thickBot="1" x14ac:dyDescent="0.25">
      <c r="A35" s="1">
        <v>1</v>
      </c>
      <c r="B35" s="1" t="s">
        <v>9</v>
      </c>
      <c r="C35" s="1">
        <v>100</v>
      </c>
      <c r="D35" s="1">
        <v>7267</v>
      </c>
      <c r="E35" s="1">
        <v>7267</v>
      </c>
      <c r="F35" s="1">
        <v>0</v>
      </c>
      <c r="G35" s="1">
        <v>4</v>
      </c>
      <c r="H35" s="1">
        <v>1.2999999999999999E-3</v>
      </c>
      <c r="I35">
        <v>1.3</v>
      </c>
      <c r="K35">
        <v>2.9889719785190515E-2</v>
      </c>
      <c r="L35">
        <v>4.03</v>
      </c>
      <c r="M35">
        <v>3.97</v>
      </c>
      <c r="N35" t="s">
        <v>38</v>
      </c>
    </row>
    <row r="36" spans="1:14" ht="15" thickBot="1" x14ac:dyDescent="0.25">
      <c r="A36" s="1">
        <v>2</v>
      </c>
      <c r="B36" s="1" t="s">
        <v>9</v>
      </c>
      <c r="C36" s="1">
        <v>500</v>
      </c>
      <c r="D36" s="1">
        <v>36322</v>
      </c>
      <c r="E36" s="1">
        <v>36322</v>
      </c>
      <c r="F36" s="1">
        <v>0</v>
      </c>
      <c r="G36" s="1">
        <v>4.09</v>
      </c>
      <c r="H36" s="1">
        <v>5.0000000000000001E-3</v>
      </c>
      <c r="I36">
        <v>5</v>
      </c>
      <c r="K36">
        <v>5.1421080560576413E-2</v>
      </c>
      <c r="L36">
        <v>4.1399999999999997</v>
      </c>
      <c r="M36">
        <v>4.04</v>
      </c>
      <c r="N36" t="s">
        <v>39</v>
      </c>
    </row>
    <row r="37" spans="1:14" ht="15" thickBot="1" x14ac:dyDescent="0.25">
      <c r="A37" s="1">
        <v>3</v>
      </c>
      <c r="B37" s="1" t="s">
        <v>9</v>
      </c>
      <c r="C37" s="1">
        <v>1000</v>
      </c>
      <c r="D37" s="1">
        <v>71432</v>
      </c>
      <c r="E37" s="1">
        <v>71432</v>
      </c>
      <c r="F37" s="1">
        <v>0</v>
      </c>
      <c r="G37" s="1">
        <v>21.23</v>
      </c>
      <c r="H37" s="1">
        <v>0.1</v>
      </c>
      <c r="I37">
        <v>100</v>
      </c>
      <c r="K37">
        <v>0.73334724768494708</v>
      </c>
      <c r="L37">
        <v>21.96</v>
      </c>
      <c r="M37">
        <v>20.5</v>
      </c>
      <c r="N37" t="s">
        <v>40</v>
      </c>
    </row>
    <row r="38" spans="1:14" ht="15" thickBot="1" x14ac:dyDescent="0.25">
      <c r="A38" s="1">
        <v>4</v>
      </c>
      <c r="B38" s="1" t="s">
        <v>9</v>
      </c>
      <c r="C38" s="1">
        <v>2500</v>
      </c>
      <c r="D38" s="1">
        <v>53227</v>
      </c>
      <c r="E38" s="1">
        <v>53227</v>
      </c>
      <c r="F38" s="1">
        <v>0</v>
      </c>
      <c r="G38" s="1">
        <v>3060.8</v>
      </c>
      <c r="H38" s="1">
        <v>1.8</v>
      </c>
      <c r="I38">
        <v>1800</v>
      </c>
      <c r="K38">
        <v>15.291939881167796</v>
      </c>
      <c r="L38">
        <v>3076.09</v>
      </c>
      <c r="M38">
        <v>3045.51</v>
      </c>
      <c r="N38" t="s">
        <v>41</v>
      </c>
    </row>
    <row r="39" spans="1:14" ht="15" thickBot="1" x14ac:dyDescent="0.25">
      <c r="A39" s="1">
        <v>5</v>
      </c>
      <c r="B39" s="1" t="s">
        <v>9</v>
      </c>
      <c r="C39" s="1">
        <v>5000</v>
      </c>
      <c r="D39" s="1">
        <v>56094</v>
      </c>
      <c r="E39" s="1">
        <v>56094</v>
      </c>
      <c r="F39" s="1">
        <v>0</v>
      </c>
      <c r="G39" s="1">
        <v>7061.67</v>
      </c>
      <c r="H39" s="1">
        <v>4.1500000000000004</v>
      </c>
      <c r="I39">
        <v>4150</v>
      </c>
      <c r="K39">
        <v>34.343611522968089</v>
      </c>
      <c r="L39">
        <v>7096.01</v>
      </c>
      <c r="M39">
        <v>7027.33</v>
      </c>
      <c r="N39" t="s">
        <v>42</v>
      </c>
    </row>
    <row r="43" spans="1:14" x14ac:dyDescent="0.2">
      <c r="A43" s="12" t="s">
        <v>43</v>
      </c>
      <c r="B43" s="12"/>
      <c r="C43" s="12"/>
      <c r="D43" s="12"/>
      <c r="E43" s="12"/>
      <c r="F43" s="12"/>
      <c r="G43" s="12"/>
    </row>
    <row r="44" spans="1:14" x14ac:dyDescent="0.2">
      <c r="A44" s="12"/>
      <c r="B44" s="12"/>
      <c r="C44" s="12"/>
      <c r="D44" s="12"/>
      <c r="E44" s="12"/>
      <c r="F44" s="12"/>
      <c r="G44" s="12"/>
    </row>
    <row r="47" spans="1:14" x14ac:dyDescent="0.2">
      <c r="E47">
        <f>_xlfn.STDEV.S(-0.04,-0.19,0.14,-0.09,-0.14,0.19,0.04,0.09)/SQRT(8)</f>
        <v>4.8329228068677919E-2</v>
      </c>
    </row>
    <row r="48" spans="1:14" x14ac:dyDescent="0.2">
      <c r="E48" t="e" vm="1">
        <f>_xleta.T</f>
        <v>#VALUE!</v>
      </c>
      <c r="G48" t="s">
        <v>45</v>
      </c>
      <c r="H48" t="s">
        <v>44</v>
      </c>
    </row>
    <row r="49" spans="4:10" x14ac:dyDescent="0.2">
      <c r="D49">
        <f>AVERAGE(-0.04,-0.19,0.14,-0.09,-0.14,0.19,0.04,0.09)</f>
        <v>0</v>
      </c>
      <c r="G49">
        <f>AVERAGE(0.04,-0.19,0.14,-0.09,-0.14,0.19,0.04,0.09)-I49</f>
        <v>-8.1303384579731131E-2</v>
      </c>
      <c r="H49">
        <f>AVERAGE(0.04,-0.19,0.14,-0.09,-0.14,0.19,0.04,0.09)+I49</f>
        <v>0.10130338457973115</v>
      </c>
      <c r="I49">
        <f>1.895*(_xlfn.STDEV.S(0.04,-0.19,0.14,-0.09,-0.14,0.19,0.04,0.09)/SQRT(8))</f>
        <v>9.1303384579731139E-2</v>
      </c>
      <c r="J49">
        <f>SQRT(7)</f>
        <v>2.6457513110645907</v>
      </c>
    </row>
    <row r="52" spans="4:10" x14ac:dyDescent="0.2">
      <c r="D52">
        <f>LN(2*10^-6)/LN(0.8646)</f>
        <v>90.195313085050358</v>
      </c>
    </row>
  </sheetData>
  <mergeCells count="9">
    <mergeCell ref="A43:G44"/>
    <mergeCell ref="A18:G19"/>
    <mergeCell ref="A23:A24"/>
    <mergeCell ref="B23:B24"/>
    <mergeCell ref="C23:C24"/>
    <mergeCell ref="D23:D24"/>
    <mergeCell ref="E23:E24"/>
    <mergeCell ref="F23:F24"/>
    <mergeCell ref="G23:G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Khitchinthak Hansnontchot</dc:creator>
  <cp:lastModifiedBy>nattanon wongnongwang</cp:lastModifiedBy>
  <dcterms:created xsi:type="dcterms:W3CDTF">2026-01-13T13:13:34Z</dcterms:created>
  <dcterms:modified xsi:type="dcterms:W3CDTF">2026-01-18T18:12:24Z</dcterms:modified>
</cp:coreProperties>
</file>